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gesed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 &quot;kr/t&quot;"/>
    <numFmt numFmtId="165" formatCode="#,##0 &quot;kr.&quot;"/>
  </numFmts>
  <fonts count="26">
    <font>
      <name val="Calibri"/>
      <family val="2"/>
      <color theme="1"/>
      <sz val="11"/>
      <scheme val="minor"/>
    </font>
    <font>
      <name val="Courier New"/>
      <color rgb="00444488"/>
      <sz val="7"/>
    </font>
    <font>
      <name val="Arial"/>
      <b val="1"/>
      <color rgb="00E8B94F"/>
      <sz val="15"/>
    </font>
    <font>
      <name val="Arial"/>
      <b val="1"/>
      <color rgb="00888888"/>
      <sz val="9"/>
    </font>
    <font>
      <name val="Arial"/>
      <b val="1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444444"/>
      <sz val="10"/>
    </font>
    <font>
      <name val="Courier New"/>
      <b val="1"/>
      <color rgb="000000FF"/>
      <sz val="10"/>
    </font>
    <font>
      <name val="Arial"/>
      <b val="1"/>
      <color rgb="0000C897"/>
      <sz val="10"/>
    </font>
    <font>
      <name val="Arial"/>
      <b val="1"/>
      <color rgb="00E63946"/>
      <sz val="10"/>
    </font>
    <font>
      <name val="Arial"/>
      <b val="1"/>
      <color rgb="00FF9500"/>
      <sz val="10"/>
    </font>
    <font>
      <name val="Arial"/>
      <color rgb="00999999"/>
      <sz val="10"/>
    </font>
    <font>
      <name val="Arial"/>
      <b val="1"/>
      <color rgb="000F0F0F"/>
      <sz val="10"/>
    </font>
    <font>
      <name val="Arial"/>
      <b val="1"/>
      <color rgb="00FF5E00"/>
      <sz val="10"/>
    </font>
    <font>
      <name val="Arial"/>
      <b val="1"/>
      <color rgb="00FFFFFF"/>
      <sz val="11"/>
    </font>
    <font>
      <name val="Arial"/>
      <b val="1"/>
      <color rgb="00E8B94F"/>
      <sz val="11"/>
    </font>
    <font>
      <name val="Arial"/>
      <color rgb="00888888"/>
      <sz val="9"/>
    </font>
    <font>
      <name val="Arial"/>
      <color rgb="00888888"/>
      <sz val="7"/>
    </font>
    <font>
      <name val="Arial"/>
      <b val="1"/>
      <color rgb="0000C897"/>
      <sz val="8"/>
    </font>
    <font>
      <name val="Arial"/>
      <b val="1"/>
      <color rgb="00FF9500"/>
      <sz val="8"/>
    </font>
    <font>
      <name val="Arial"/>
      <b val="1"/>
      <color rgb="00FF5E00"/>
      <sz val="8"/>
    </font>
    <font>
      <name val="Arial"/>
      <b val="1"/>
      <color rgb="00E63946"/>
      <sz val="8"/>
    </font>
    <font>
      <name val="Arial"/>
      <b val="1"/>
      <color rgb="009B59B6"/>
      <sz val="8"/>
    </font>
    <font>
      <name val="Arial"/>
      <b val="1"/>
      <color rgb="003498DB"/>
      <sz val="8"/>
    </font>
  </fonts>
  <fills count="12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0F0F8"/>
      </patternFill>
    </fill>
    <fill>
      <patternFill patternType="solid">
        <fgColor rgb="00EAEAF4"/>
      </patternFill>
    </fill>
    <fill>
      <patternFill patternType="solid">
        <fgColor rgb="0016213E"/>
      </patternFill>
    </fill>
    <fill>
      <patternFill patternType="solid">
        <fgColor rgb="00EEEEEE"/>
      </patternFill>
    </fill>
    <fill>
      <patternFill patternType="solid">
        <fgColor rgb="0000C897"/>
      </patternFill>
    </fill>
    <fill>
      <patternFill patternType="solid">
        <fgColor rgb="009B59B6"/>
      </patternFill>
    </fill>
    <fill>
      <patternFill patternType="solid">
        <fgColor rgb="003498DB"/>
      </patternFill>
    </fill>
  </fills>
  <borders count="9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left style="thin">
        <color rgb="00333366"/>
      </left>
      <right style="thin">
        <color rgb="00333366"/>
      </right>
      <top style="thin">
        <color rgb="00333366"/>
      </top>
      <bottom style="thin">
        <color rgb="00333366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0" fontId="0" fillId="2" borderId="0" pivotButton="0" quotePrefix="0" xfId="0"/>
    <xf numFmtId="0" fontId="6" fillId="2" borderId="6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center" vertical="center"/>
    </xf>
    <xf numFmtId="0" fontId="8" fillId="4" borderId="7" applyAlignment="1" pivotButton="0" quotePrefix="0" xfId="0">
      <alignment horizontal="center" vertical="center"/>
    </xf>
    <xf numFmtId="0" fontId="9" fillId="4" borderId="7" applyAlignment="1" pivotButton="0" quotePrefix="0" xfId="0">
      <alignment horizontal="center" vertical="center"/>
    </xf>
    <xf numFmtId="0" fontId="10" fillId="4" borderId="7" applyAlignment="1" pivotButton="0" quotePrefix="0" xfId="0">
      <alignment horizontal="center" vertical="center"/>
    </xf>
    <xf numFmtId="0" fontId="11" fillId="4" borderId="7" applyAlignment="1" pivotButton="0" quotePrefix="0" xfId="0">
      <alignment horizontal="center" vertical="center"/>
    </xf>
    <xf numFmtId="3" fontId="8" fillId="4" borderId="7" applyAlignment="1" pivotButton="0" quotePrefix="0" xfId="0">
      <alignment horizontal="right" vertical="center"/>
    </xf>
    <xf numFmtId="3" fontId="12" fillId="4" borderId="7" applyAlignment="1" pivotButton="0" quotePrefix="0" xfId="0">
      <alignment horizontal="right" vertical="center"/>
    </xf>
    <xf numFmtId="3" fontId="13" fillId="4" borderId="7" applyAlignment="1" pivotButton="0" quotePrefix="0" xfId="0">
      <alignment horizontal="right" vertical="center"/>
    </xf>
    <xf numFmtId="3" fontId="14" fillId="4" borderId="7" applyAlignment="1" pivotButton="0" quotePrefix="0" xfId="0">
      <alignment horizontal="right" vertical="center"/>
    </xf>
    <xf numFmtId="0" fontId="7" fillId="5" borderId="7" applyAlignment="1" pivotButton="0" quotePrefix="0" xfId="0">
      <alignment horizontal="center" vertical="center"/>
    </xf>
    <xf numFmtId="0" fontId="8" fillId="5" borderId="7" applyAlignment="1" pivotButton="0" quotePrefix="0" xfId="0">
      <alignment horizontal="center" vertical="center"/>
    </xf>
    <xf numFmtId="0" fontId="9" fillId="5" borderId="7" applyAlignment="1" pivotButton="0" quotePrefix="0" xfId="0">
      <alignment horizontal="center" vertical="center"/>
    </xf>
    <xf numFmtId="0" fontId="10" fillId="5" borderId="7" applyAlignment="1" pivotButton="0" quotePrefix="0" xfId="0">
      <alignment horizontal="center" vertical="center"/>
    </xf>
    <xf numFmtId="0" fontId="11" fillId="5" borderId="7" applyAlignment="1" pivotButton="0" quotePrefix="0" xfId="0">
      <alignment horizontal="center" vertical="center"/>
    </xf>
    <xf numFmtId="3" fontId="8" fillId="5" borderId="7" applyAlignment="1" pivotButton="0" quotePrefix="0" xfId="0">
      <alignment horizontal="right" vertical="center"/>
    </xf>
    <xf numFmtId="3" fontId="12" fillId="5" borderId="7" applyAlignment="1" pivotButton="0" quotePrefix="0" xfId="0">
      <alignment horizontal="right" vertical="center"/>
    </xf>
    <xf numFmtId="3" fontId="15" fillId="5" borderId="7" applyAlignment="1" pivotButton="0" quotePrefix="0" xfId="0">
      <alignment horizontal="right" vertical="center"/>
    </xf>
    <xf numFmtId="3" fontId="13" fillId="5" borderId="7" applyAlignment="1" pivotButton="0" quotePrefix="0" xfId="0">
      <alignment horizontal="right" vertical="center"/>
    </xf>
    <xf numFmtId="3" fontId="14" fillId="5" borderId="7" applyAlignment="1" pivotButton="0" quotePrefix="0" xfId="0">
      <alignment horizontal="right" vertical="center"/>
    </xf>
    <xf numFmtId="3" fontId="11" fillId="5" borderId="7" applyAlignment="1" pivotButton="0" quotePrefix="0" xfId="0">
      <alignment horizontal="right" vertical="center"/>
    </xf>
    <xf numFmtId="0" fontId="3" fillId="6" borderId="7" applyAlignment="1" pivotButton="0" quotePrefix="0" xfId="0">
      <alignment horizontal="center" vertical="center"/>
    </xf>
    <xf numFmtId="0" fontId="8" fillId="6" borderId="7" applyAlignment="1" pivotButton="0" quotePrefix="0" xfId="0">
      <alignment horizontal="center" vertical="center"/>
    </xf>
    <xf numFmtId="3" fontId="8" fillId="6" borderId="7" applyAlignment="1" pivotButton="0" quotePrefix="0" xfId="0">
      <alignment horizontal="right" vertical="center"/>
    </xf>
    <xf numFmtId="3" fontId="13" fillId="6" borderId="7" applyAlignment="1" pivotButton="0" quotePrefix="0" xfId="0">
      <alignment horizontal="right" vertical="center"/>
    </xf>
    <xf numFmtId="3" fontId="14" fillId="6" borderId="7" applyAlignment="1" pivotButton="0" quotePrefix="0" xfId="0">
      <alignment horizontal="right" vertical="center"/>
    </xf>
    <xf numFmtId="0" fontId="16" fillId="2" borderId="0" applyAlignment="1" pivotButton="0" quotePrefix="0" xfId="0">
      <alignment horizontal="left" vertical="center"/>
    </xf>
    <xf numFmtId="3" fontId="17" fillId="2" borderId="6" applyAlignment="1" pivotButton="0" quotePrefix="0" xfId="0">
      <alignment horizontal="right" vertical="center"/>
    </xf>
    <xf numFmtId="0" fontId="18" fillId="3" borderId="0" applyAlignment="1" pivotButton="0" quotePrefix="0" xfId="0">
      <alignment horizontal="left" vertical="center"/>
    </xf>
    <xf numFmtId="3" fontId="18" fillId="3" borderId="0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0" fillId="3" borderId="0" pivotButton="0" quotePrefix="0" xfId="0"/>
    <xf numFmtId="0" fontId="19" fillId="3" borderId="0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0" fillId="8" borderId="8" pivotButton="0" quotePrefix="0" xfId="0"/>
    <xf numFmtId="0" fontId="0" fillId="9" borderId="8" pivotButton="0" quotePrefix="0" xfId="0"/>
    <xf numFmtId="0" fontId="0" fillId="10" borderId="8" pivotButton="0" quotePrefix="0" xfId="0"/>
    <xf numFmtId="0" fontId="0" fillId="11" borderId="8" pivotButton="0" quotePrefix="0" xfId="0"/>
    <xf numFmtId="0" fontId="20" fillId="3" borderId="0" applyAlignment="1" pivotButton="0" quotePrefix="0" xfId="0">
      <alignment horizontal="left" vertical="center"/>
    </xf>
    <xf numFmtId="0" fontId="21" fillId="3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23" fillId="3" borderId="0" applyAlignment="1" pivotButton="0" quotePrefix="0" xfId="0">
      <alignment horizontal="left" vertical="center"/>
    </xf>
    <xf numFmtId="0" fontId="24" fillId="3" borderId="0" applyAlignment="1" pivotButton="0" quotePrefix="0" xfId="0">
      <alignment horizontal="left" vertical="center"/>
    </xf>
    <xf numFmtId="0" fontId="25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8" customWidth="1" min="3" max="3"/>
    <col width="8" customWidth="1" min="4" max="4"/>
    <col width="9" customWidth="1" min="5" max="5"/>
    <col width="9" customWidth="1" min="6" max="6"/>
    <col width="8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10" customHeight="1">
      <c r="A1" s="1" t="inlineStr">
        <is>
          <t>▐ █░█░█░█░█░█░█░█░█░█░█░█░█░█░█░█░█░█░█░█░█░█░█░█░█░█░█░█░█░█░█░█░█░█░█░█░█░█░█ ▌</t>
        </is>
      </c>
    </row>
    <row r="2" ht="54" customHeight="1">
      <c r="A2" s="2" t="inlineStr">
        <is>
          <t>⬛  TIME APP  ·  FIKTIONSOVERENSKOMST 2025–2027  ·  5-DAGES UGESEDDEL</t>
        </is>
      </c>
    </row>
    <row r="3" ht="18" customHeight="1">
      <c r="A3" s="3" t="inlineStr">
        <is>
          <t>NAVN:</t>
        </is>
      </c>
      <c r="B3" s="4" t="inlineStr">
        <is>
          <t>Thomas Ditzel</t>
        </is>
      </c>
      <c r="C3" s="5" t="n"/>
      <c r="D3" s="5" t="n"/>
      <c r="E3" s="6" t="n"/>
      <c r="G3" s="3" t="inlineStr">
        <is>
          <t>TIMESATS:</t>
        </is>
      </c>
      <c r="H3" s="7">
        <f>B5/40</f>
        <v/>
      </c>
    </row>
    <row r="4" ht="18" customHeight="1">
      <c r="A4" s="3" t="inlineStr">
        <is>
          <t>PRODUKTION:</t>
        </is>
      </c>
      <c r="B4" s="4" t="inlineStr">
        <is>
          <t>Nordisk Film — Dramatikken</t>
        </is>
      </c>
      <c r="C4" s="5" t="n"/>
      <c r="D4" s="5" t="n"/>
      <c r="E4" s="6" t="n"/>
    </row>
    <row r="5" ht="18" customHeight="1">
      <c r="A5" s="3" t="inlineStr">
        <is>
          <t>UGELØN:</t>
        </is>
      </c>
      <c r="B5" s="4" t="n">
        <v>12380</v>
      </c>
      <c r="G5" s="3" t="inlineStr">
        <is>
          <t>PENSION 9,5%:</t>
        </is>
      </c>
      <c r="H5" s="8">
        <f>ROUND(L18*0.095,0)</f>
        <v/>
      </c>
    </row>
    <row r="6" ht="18" customHeight="1">
      <c r="A6" s="3" t="inlineStr">
        <is>
          <t>UGE NR.:</t>
        </is>
      </c>
      <c r="B6" s="4" t="n">
        <v>15</v>
      </c>
    </row>
    <row r="7" ht="18" customHeight="1">
      <c r="A7" s="3" t="inlineStr">
        <is>
          <t>ÅR:</t>
        </is>
      </c>
      <c r="B7" s="4" t="n">
        <v>2026</v>
      </c>
    </row>
    <row r="8" ht="6" customHeight="1">
      <c r="A8" s="9" t="n"/>
    </row>
    <row r="9" ht="32" customHeight="1">
      <c r="A9" s="10" t="inlineStr">
        <is>
          <t>DAG</t>
        </is>
      </c>
      <c r="B9" s="10" t="inlineStr">
        <is>
          <t>DATO</t>
        </is>
      </c>
      <c r="C9" s="10" t="inlineStr">
        <is>
          <t>START</t>
        </is>
      </c>
      <c r="D9" s="10" t="inlineStr">
        <is>
          <t>SLUT</t>
        </is>
      </c>
      <c r="E9" s="10" t="inlineStr">
        <is>
          <t>TIMER</t>
        </is>
      </c>
      <c r="F9" s="10" t="inlineStr">
        <is>
          <t>OT
TIM.</t>
        </is>
      </c>
      <c r="G9" s="10" t="inlineStr">
        <is>
          <t>PAUSE
MIN.</t>
        </is>
      </c>
      <c r="H9" s="10" t="inlineStr">
        <is>
          <t>NORMAL
KR.</t>
        </is>
      </c>
      <c r="I9" s="10" t="inlineStr">
        <is>
          <t>OT 1.t
+50%</t>
        </is>
      </c>
      <c r="J9" s="10" t="inlineStr">
        <is>
          <t>OT 2.t
+60%</t>
        </is>
      </c>
      <c r="K9" s="10" t="inlineStr">
        <is>
          <t>OT 3.t+
+135%</t>
        </is>
      </c>
      <c r="L9" s="10" t="inlineStr">
        <is>
          <t>DAGSLØN
KR.</t>
        </is>
      </c>
    </row>
    <row r="10" ht="22" customHeight="1">
      <c r="A10" s="11" t="inlineStr">
        <is>
          <t>Man</t>
        </is>
      </c>
      <c r="B10" s="12" t="inlineStr">
        <is>
          <t>06.04.26</t>
        </is>
      </c>
      <c r="C10" s="13" t="inlineStr">
        <is>
          <t>7:00</t>
        </is>
      </c>
      <c r="D10" s="13" t="inlineStr">
        <is>
          <t>16:00</t>
        </is>
      </c>
      <c r="E10" s="14" t="n">
        <v>8.5</v>
      </c>
      <c r="F10" s="15" t="n">
        <v>0.5</v>
      </c>
      <c r="G10" s="12" t="inlineStr"/>
      <c r="H10" s="16">
        <f>ROUND((B5/40)*MIN(8,E10),0)</f>
        <v/>
      </c>
      <c r="I10" s="17">
        <f>ROUND(IF(F10&gt;0,(B5/40)*1.5*MAX(0,MIN(1,E10-8)),0),0)</f>
        <v/>
      </c>
      <c r="J10" s="18">
        <f>ROUND(IF(F10&gt;0,(B5/40)*1.6*MAX(0,MIN(1,E10-9)),0),0)</f>
        <v/>
      </c>
      <c r="K10" s="18">
        <f>ROUND(IF(F10&gt;0,(B5/40)*2.35*MAX(0,E10-10),0),0)</f>
        <v/>
      </c>
      <c r="L10" s="19">
        <f>H10+I10+J10+K10</f>
        <v/>
      </c>
    </row>
    <row r="11" ht="22" customHeight="1">
      <c r="A11" s="20" t="inlineStr">
        <is>
          <t>Tir</t>
        </is>
      </c>
      <c r="B11" s="21" t="inlineStr">
        <is>
          <t>07.04.26</t>
        </is>
      </c>
      <c r="C11" s="22" t="inlineStr">
        <is>
          <t>7:00</t>
        </is>
      </c>
      <c r="D11" s="22" t="inlineStr">
        <is>
          <t>17:30</t>
        </is>
      </c>
      <c r="E11" s="23" t="n">
        <v>10</v>
      </c>
      <c r="F11" s="24" t="n">
        <v>2</v>
      </c>
      <c r="G11" s="21" t="inlineStr"/>
      <c r="H11" s="25">
        <f>ROUND((B5/40)*MIN(8,E11),0)</f>
        <v/>
      </c>
      <c r="I11" s="26">
        <f>ROUND(IF(F11&gt;0,(B5/40)*1.5*MAX(0,MIN(1,E11-8)),0),0)</f>
        <v/>
      </c>
      <c r="J11" s="27">
        <f>ROUND(IF(F11&gt;0,(B5/40)*1.6*MAX(0,MIN(1,E11-9)),0),0)</f>
        <v/>
      </c>
      <c r="K11" s="28">
        <f>ROUND(IF(F11&gt;0,(B5/40)*2.35*MAX(0,E11-10),0),0)</f>
        <v/>
      </c>
      <c r="L11" s="29">
        <f>H11+I11+J11+K11</f>
        <v/>
      </c>
    </row>
    <row r="12" ht="22" customHeight="1">
      <c r="A12" s="11" t="inlineStr">
        <is>
          <t>Ons</t>
        </is>
      </c>
      <c r="B12" s="12" t="inlineStr">
        <is>
          <t>08.04.26</t>
        </is>
      </c>
      <c r="C12" s="13" t="inlineStr">
        <is>
          <t>6:00</t>
        </is>
      </c>
      <c r="D12" s="13" t="inlineStr">
        <is>
          <t>15:00</t>
        </is>
      </c>
      <c r="E12" s="14" t="n">
        <v>8.5</v>
      </c>
      <c r="F12" s="15" t="n">
        <v>0.5</v>
      </c>
      <c r="G12" s="12" t="inlineStr"/>
      <c r="H12" s="16">
        <f>ROUND((B5/40)*MIN(8,E12),0)</f>
        <v/>
      </c>
      <c r="I12" s="17">
        <f>ROUND(IF(F12&gt;0,(B5/40)*1.5*MAX(0,MIN(1,E12-8)),0),0)</f>
        <v/>
      </c>
      <c r="J12" s="18">
        <f>ROUND(IF(F12&gt;0,(B5/40)*1.6*MAX(0,MIN(1,E12-9)),0),0)</f>
        <v/>
      </c>
      <c r="K12" s="18">
        <f>ROUND(IF(F12&gt;0,(B5/40)*2.35*MAX(0,E12-10),0),0)</f>
        <v/>
      </c>
      <c r="L12" s="19">
        <f>H12+I12+J12+K12</f>
        <v/>
      </c>
    </row>
    <row r="13" ht="22" customHeight="1">
      <c r="A13" s="20" t="inlineStr">
        <is>
          <t>Tor</t>
        </is>
      </c>
      <c r="B13" s="21" t="inlineStr">
        <is>
          <t>09.04.26</t>
        </is>
      </c>
      <c r="C13" s="22" t="inlineStr">
        <is>
          <t>7:00</t>
        </is>
      </c>
      <c r="D13" s="22" t="inlineStr">
        <is>
          <t>18:30</t>
        </is>
      </c>
      <c r="E13" s="23" t="n">
        <v>11</v>
      </c>
      <c r="F13" s="24" t="n">
        <v>3</v>
      </c>
      <c r="G13" s="21" t="inlineStr"/>
      <c r="H13" s="25">
        <f>ROUND((B5/40)*MIN(8,E13),0)</f>
        <v/>
      </c>
      <c r="I13" s="26">
        <f>ROUND(IF(F13&gt;0,(B5/40)*1.5*MAX(0,MIN(1,E13-8)),0),0)</f>
        <v/>
      </c>
      <c r="J13" s="27">
        <f>ROUND(IF(F13&gt;0,(B5/40)*1.6*MAX(0,MIN(1,E13-9)),0),0)</f>
        <v/>
      </c>
      <c r="K13" s="30">
        <f>ROUND(IF(F13&gt;0,(B5/40)*2.35*MAX(0,E13-10),0),0)</f>
        <v/>
      </c>
      <c r="L13" s="29">
        <f>H13+I13+J13+K13</f>
        <v/>
      </c>
    </row>
    <row r="14" ht="22" customHeight="1">
      <c r="A14" s="11" t="inlineStr">
        <is>
          <t>Fre</t>
        </is>
      </c>
      <c r="B14" s="12" t="inlineStr">
        <is>
          <t>10.04.26</t>
        </is>
      </c>
      <c r="C14" s="13" t="inlineStr">
        <is>
          <t>13:00</t>
        </is>
      </c>
      <c r="D14" s="13" t="inlineStr">
        <is>
          <t>15:30</t>
        </is>
      </c>
      <c r="E14" s="14" t="n">
        <v>2</v>
      </c>
      <c r="F14" s="12" t="inlineStr"/>
      <c r="G14" s="12" t="inlineStr"/>
      <c r="H14" s="16">
        <f>ROUND((B5/40)*1.1*MAX(4,E14),0)</f>
        <v/>
      </c>
      <c r="I14" s="18">
        <f>ROUND(IF(F14&gt;0,(B5/40)*1.5*MAX(0,MIN(1,E14-8)),0),0)</f>
        <v/>
      </c>
      <c r="J14" s="18">
        <f>ROUND(IF(F14&gt;0,(B5/40)*1.6*MAX(0,MIN(1,E14-9)),0),0)</f>
        <v/>
      </c>
      <c r="K14" s="18">
        <f>ROUND(IF(F14&gt;0,(B5/40)*2.35*MAX(0,E14-10),0),0)</f>
        <v/>
      </c>
      <c r="L14" s="19">
        <f>H14+I14+J14+K14</f>
        <v/>
      </c>
    </row>
    <row r="15" ht="22" customHeight="1">
      <c r="A15" s="31" t="inlineStr">
        <is>
          <t>Lør</t>
        </is>
      </c>
      <c r="B15" s="32" t="inlineStr">
        <is>
          <t>11.04.26</t>
        </is>
      </c>
      <c r="C15" s="32" t="inlineStr"/>
      <c r="D15" s="32" t="inlineStr"/>
      <c r="E15" s="32" t="inlineStr"/>
      <c r="F15" s="32" t="inlineStr"/>
      <c r="G15" s="32" t="inlineStr"/>
      <c r="H15" s="33" t="n"/>
      <c r="I15" s="34" t="n"/>
      <c r="J15" s="34" t="n"/>
      <c r="K15" s="34" t="n"/>
      <c r="L15" s="35" t="n"/>
    </row>
    <row r="16" ht="22" customHeight="1">
      <c r="A16" s="31" t="inlineStr">
        <is>
          <t>Søn</t>
        </is>
      </c>
      <c r="B16" s="32" t="inlineStr">
        <is>
          <t>12.04.26</t>
        </is>
      </c>
      <c r="C16" s="32" t="inlineStr"/>
      <c r="D16" s="32" t="inlineStr"/>
      <c r="E16" s="32" t="inlineStr"/>
      <c r="F16" s="32" t="inlineStr"/>
      <c r="G16" s="32" t="inlineStr"/>
      <c r="H16" s="33" t="n"/>
      <c r="I16" s="34" t="n"/>
      <c r="J16" s="34" t="n"/>
      <c r="K16" s="34" t="n"/>
      <c r="L16" s="35" t="n"/>
    </row>
    <row r="17" ht="6" customHeight="1">
      <c r="A17" s="9" t="n"/>
    </row>
    <row r="18" ht="28" customHeight="1">
      <c r="A18" s="36" t="inlineStr">
        <is>
          <t>▶  UGE I ALT</t>
        </is>
      </c>
      <c r="E18" s="37">
        <f>SUM(E10:E16)</f>
        <v/>
      </c>
      <c r="F18" s="37">
        <f>SUM(F10:F16)</f>
        <v/>
      </c>
      <c r="H18" s="37">
        <f>SUM(H10:H16)</f>
        <v/>
      </c>
      <c r="I18" s="37">
        <f>SUM(I10:I16)</f>
        <v/>
      </c>
      <c r="J18" s="37">
        <f>SUM(J10:J16)</f>
        <v/>
      </c>
      <c r="K18" s="37">
        <f>SUM(K10:K16)</f>
        <v/>
      </c>
      <c r="L18" s="37">
        <f>SUM(L10:L16)</f>
        <v/>
      </c>
    </row>
    <row r="19" ht="20" customHeight="1">
      <c r="A19" s="38" t="inlineStr">
        <is>
          <t xml:space="preserve">  Pension 9,5% (vejledende)</t>
        </is>
      </c>
      <c r="L19" s="39">
        <f>ROUND(L18*0.095,0)</f>
        <v/>
      </c>
    </row>
    <row r="21" ht="20" customHeight="1">
      <c r="A21" s="40" t="inlineStr">
        <is>
          <t>▌VISUEL TIDSLINJE  ·  UGE 15 · APRIL 2026  ·  TIMER PER DAG</t>
        </is>
      </c>
    </row>
    <row r="22" ht="14" customHeight="1">
      <c r="A22" s="41" t="inlineStr"/>
      <c r="B22" s="42" t="inlineStr">
        <is>
          <t>5</t>
        </is>
      </c>
      <c r="C22" s="42" t="inlineStr">
        <is>
          <t>6</t>
        </is>
      </c>
      <c r="D22" s="42" t="inlineStr">
        <is>
          <t>7</t>
        </is>
      </c>
      <c r="E22" s="42" t="inlineStr">
        <is>
          <t>8</t>
        </is>
      </c>
      <c r="F22" s="42" t="inlineStr">
        <is>
          <t>9</t>
        </is>
      </c>
      <c r="G22" s="42" t="inlineStr">
        <is>
          <t>10</t>
        </is>
      </c>
      <c r="H22" s="42" t="inlineStr">
        <is>
          <t>11</t>
        </is>
      </c>
      <c r="I22" s="42" t="inlineStr">
        <is>
          <t>12</t>
        </is>
      </c>
      <c r="J22" s="42" t="inlineStr">
        <is>
          <t>13</t>
        </is>
      </c>
      <c r="K22" s="42" t="inlineStr">
        <is>
          <t>14</t>
        </is>
      </c>
      <c r="L22" s="42" t="inlineStr">
        <is>
          <t>15</t>
        </is>
      </c>
    </row>
    <row r="23" ht="20" customHeight="1">
      <c r="A23" s="43" t="inlineStr">
        <is>
          <t>Man</t>
        </is>
      </c>
      <c r="B23" s="44" t="n"/>
      <c r="C23" s="45" t="n"/>
      <c r="D23" s="45" t="n"/>
      <c r="E23" s="45" t="n"/>
      <c r="F23" s="45" t="n"/>
      <c r="G23" s="45" t="n"/>
      <c r="H23" s="45" t="n"/>
      <c r="I23" s="45" t="n"/>
      <c r="J23" s="44" t="n"/>
      <c r="K23" s="44" t="n"/>
      <c r="L23" s="44" t="n"/>
    </row>
    <row r="24" ht="20" customHeight="1">
      <c r="A24" s="43" t="inlineStr">
        <is>
          <t>Tir</t>
        </is>
      </c>
      <c r="B24" s="44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4" t="n"/>
      <c r="L24" s="44" t="n"/>
    </row>
    <row r="25" ht="20" customHeight="1">
      <c r="A25" s="43" t="inlineStr">
        <is>
          <t>Ons</t>
        </is>
      </c>
      <c r="B25" s="46" t="n"/>
      <c r="C25" s="46" t="n"/>
      <c r="D25" s="45" t="n"/>
      <c r="E25" s="45" t="n"/>
      <c r="F25" s="45" t="n"/>
      <c r="G25" s="45" t="n"/>
      <c r="H25" s="45" t="n"/>
      <c r="I25" s="44" t="n"/>
      <c r="J25" s="44" t="n"/>
      <c r="K25" s="44" t="n"/>
      <c r="L25" s="44" t="n"/>
    </row>
    <row r="26" ht="20" customHeight="1">
      <c r="A26" s="43" t="inlineStr">
        <is>
          <t>Tor</t>
        </is>
      </c>
      <c r="B26" s="44" t="n"/>
      <c r="C26" s="45" t="n"/>
      <c r="D26" s="45" t="n"/>
      <c r="E26" s="45" t="n"/>
      <c r="F26" s="45" t="n"/>
      <c r="G26" s="45" t="n"/>
      <c r="H26" s="45" t="n"/>
      <c r="I26" s="45" t="n"/>
      <c r="J26" s="45" t="n"/>
      <c r="K26" s="45" t="n"/>
      <c r="L26" s="44" t="n"/>
    </row>
    <row r="27" ht="20" customHeight="1">
      <c r="A27" s="43" t="inlineStr">
        <is>
          <t>Fre</t>
        </is>
      </c>
      <c r="B27" s="44" t="n"/>
      <c r="C27" s="44" t="n"/>
      <c r="D27" s="44" t="n"/>
      <c r="E27" s="44" t="n"/>
      <c r="F27" s="44" t="n"/>
      <c r="G27" s="47" t="n"/>
      <c r="H27" s="47" t="n"/>
      <c r="I27" s="47" t="n"/>
      <c r="J27" s="44" t="n"/>
      <c r="K27" s="44" t="n"/>
      <c r="L27" s="44" t="n"/>
    </row>
    <row r="28" ht="20" customHeight="1">
      <c r="A28" s="48" t="inlineStr">
        <is>
          <t>● Normal arbejdstid</t>
        </is>
      </c>
      <c r="C28" s="49" t="inlineStr">
        <is>
          <t>● OT 1. time +50%</t>
        </is>
      </c>
      <c r="E28" s="50" t="inlineStr">
        <is>
          <t>● OT 2. time +60%</t>
        </is>
      </c>
      <c r="G28" s="51" t="inlineStr">
        <is>
          <t>● OT 3.+ time +135%</t>
        </is>
      </c>
      <c r="I28" s="52" t="inlineStr">
        <is>
          <t>● Forskudt §7</t>
        </is>
      </c>
      <c r="K28" s="53" t="inlineStr">
        <is>
          <t>● Enkeltdag §3.10</t>
        </is>
      </c>
    </row>
    <row r="30" ht="10" customHeight="1">
      <c r="A30" s="1" t="inlineStr">
        <is>
          <t>▐ █░█░█░█░█░█░█░█░█░█░█░█░█░█░█░█░█░█░█░█░█░█░█░█░█░█░█░█░█░█░█░█░█░█░█░█░█░█░█ ▌</t>
        </is>
      </c>
    </row>
  </sheetData>
  <mergeCells count="12">
    <mergeCell ref="A30:L30"/>
    <mergeCell ref="A2:L2"/>
    <mergeCell ref="A18:D18"/>
    <mergeCell ref="B4:E4"/>
    <mergeCell ref="A1:L1"/>
    <mergeCell ref="A19:K19"/>
    <mergeCell ref="A8:L8"/>
    <mergeCell ref="H5:I5"/>
    <mergeCell ref="B3:E3"/>
    <mergeCell ref="A17:L17"/>
    <mergeCell ref="A21:L21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2026-04-12T14:51:34Z</dcterms:created>
  <dcterms:modified xsi:type="dcterms:W3CDTF">2026-04-12T14:51:34Z</dcterms:modified>
</cp:coreProperties>
</file>